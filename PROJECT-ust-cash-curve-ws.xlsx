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as\Documents\"/>
    </mc:Choice>
  </mc:AlternateContent>
  <xr:revisionPtr revIDLastSave="0" documentId="8_{757CB077-855B-439D-81D8-AE34B76C1D8F}" xr6:coauthVersionLast="47" xr6:coauthVersionMax="47" xr10:uidLastSave="{00000000-0000-0000-0000-000000000000}"/>
  <bookViews>
    <workbookView xWindow="-28920" yWindow="-120" windowWidth="29040" windowHeight="15720" xr2:uid="{D4DDE1D5-3E43-4A32-8911-2DA3ED0A30F5}"/>
  </bookViews>
  <sheets>
    <sheet name="Work S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5" i="1" l="1"/>
  <c r="M14" i="1"/>
  <c r="M13" i="1"/>
  <c r="M12" i="1"/>
  <c r="F10" i="1"/>
  <c r="B12" i="1"/>
  <c r="I6" i="1"/>
  <c r="K8" i="1"/>
  <c r="M8" i="1" s="1"/>
  <c r="I8" i="1" s="1"/>
  <c r="K7" i="1"/>
  <c r="M7" i="1" s="1"/>
  <c r="I7" i="1" s="1"/>
  <c r="K6" i="1"/>
  <c r="M6" i="1" s="1"/>
  <c r="K5" i="1"/>
  <c r="J5" i="1" s="1"/>
  <c r="K4" i="1"/>
  <c r="J4" i="1" s="1"/>
  <c r="K3" i="1"/>
  <c r="M3" i="1" s="1"/>
  <c r="I3" i="1" s="1"/>
  <c r="L8" i="1"/>
  <c r="L7" i="1"/>
  <c r="L6" i="1"/>
  <c r="P12" i="1" s="1"/>
  <c r="L5" i="1"/>
  <c r="Q10" i="1" s="1"/>
  <c r="L4" i="1"/>
  <c r="L3" i="1"/>
  <c r="M4" i="1" l="1"/>
  <c r="O3" i="1" s="1"/>
  <c r="I4" i="1"/>
  <c r="R8" i="1"/>
  <c r="M10" i="1"/>
  <c r="F12" i="1"/>
  <c r="B14" i="1"/>
  <c r="H11" i="1"/>
  <c r="H10" i="1"/>
  <c r="J10" i="1"/>
  <c r="B13" i="1"/>
  <c r="F11" i="1"/>
  <c r="O14" i="1"/>
  <c r="S6" i="1"/>
  <c r="J8" i="1"/>
  <c r="J7" i="1"/>
  <c r="J6" i="1"/>
  <c r="O12" i="1"/>
  <c r="M5" i="1"/>
  <c r="I5" i="1" s="1"/>
  <c r="B11" i="1" s="1"/>
  <c r="O8" i="1"/>
  <c r="O10" i="1"/>
  <c r="P10" i="1"/>
  <c r="Q8" i="1"/>
  <c r="J3" i="1"/>
  <c r="P8" i="1"/>
  <c r="P6" i="1"/>
  <c r="O6" i="1"/>
  <c r="Q6" i="1"/>
  <c r="R6" i="1"/>
  <c r="Q3" i="1" l="1"/>
  <c r="D11" i="1"/>
  <c r="D10" i="1"/>
  <c r="M11" i="1"/>
  <c r="R3" i="1" s="1"/>
  <c r="D12" i="1"/>
  <c r="B10" i="1"/>
  <c r="D13" i="1"/>
  <c r="P3" i="1"/>
  <c r="S3" i="1" l="1"/>
</calcChain>
</file>

<file path=xl/sharedStrings.xml><?xml version="1.0" encoding="utf-8"?>
<sst xmlns="http://schemas.openxmlformats.org/spreadsheetml/2006/main" count="85" uniqueCount="50">
  <si>
    <t>price</t>
  </si>
  <si>
    <t>lots</t>
  </si>
  <si>
    <t>mod</t>
  </si>
  <si>
    <t>yield bps</t>
  </si>
  <si>
    <t>shock bps</t>
  </si>
  <si>
    <t>2y</t>
  </si>
  <si>
    <t>5y</t>
  </si>
  <si>
    <t>10y</t>
  </si>
  <si>
    <t>7y</t>
  </si>
  <si>
    <t>20y</t>
  </si>
  <si>
    <t>input</t>
  </si>
  <si>
    <t>30y</t>
  </si>
  <si>
    <t>DV01</t>
  </si>
  <si>
    <t>p/l</t>
  </si>
  <si>
    <t>notional</t>
  </si>
  <si>
    <t>new if shock</t>
  </si>
  <si>
    <t>DV01 hedge ratios</t>
  </si>
  <si>
    <t>2y to 5y</t>
  </si>
  <si>
    <t>2y to 7y</t>
  </si>
  <si>
    <t>2y to 10y</t>
  </si>
  <si>
    <t>2y to 20y</t>
  </si>
  <si>
    <t>2y to 30y</t>
  </si>
  <si>
    <t>5y to 7y</t>
  </si>
  <si>
    <t>5y to 10y</t>
  </si>
  <si>
    <t>5y to 20y</t>
  </si>
  <si>
    <t>5y to 30y</t>
  </si>
  <si>
    <t>7y to 10y</t>
  </si>
  <si>
    <t>7y to 20y</t>
  </si>
  <si>
    <t>7y to 30y</t>
  </si>
  <si>
    <t>10y to 20y</t>
  </si>
  <si>
    <t>10y to 30y</t>
  </si>
  <si>
    <t>20y to 30y</t>
  </si>
  <si>
    <t>portfolio statistics</t>
  </si>
  <si>
    <t>convexity</t>
  </si>
  <si>
    <t>tot notional</t>
  </si>
  <si>
    <t>tot DV01</t>
  </si>
  <si>
    <t>tot p/l</t>
  </si>
  <si>
    <t>lot notional is 1,000 USD multiplied by price</t>
  </si>
  <si>
    <t xml:space="preserve">   </t>
  </si>
  <si>
    <t>longer - shorter</t>
  </si>
  <si>
    <t>new curve slopes</t>
  </si>
  <si>
    <t>tot carry</t>
  </si>
  <si>
    <t>est carry</t>
  </si>
  <si>
    <t xml:space="preserve">days held          </t>
  </si>
  <si>
    <t>Years</t>
  </si>
  <si>
    <t>longer DV01  /  shorter DV01</t>
  </si>
  <si>
    <t>funding rate bps</t>
  </si>
  <si>
    <t>TOTAL RETURN</t>
  </si>
  <si>
    <t>PROJECT-ust-cash-curve-ws</t>
  </si>
  <si>
    <t>project created by Robert Nikolas Daniel , do not steal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</si>
</sst>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3" tint="0.499984740745262"/>
      </left>
      <right/>
      <top style="thin">
        <color theme="3" tint="0.499984740745262"/>
      </top>
      <bottom style="thin">
        <color theme="3" tint="0.49998474074526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/>
      <diagonal/>
    </border>
    <border>
      <left/>
      <right/>
      <top/>
      <bottom style="thin">
        <color theme="2" tint="-9.9978637043366805E-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18" borderId="1" xfId="0" applyFill="1" applyBorder="1"/>
    <xf numFmtId="0" fontId="0" fillId="14" borderId="1" xfId="0" applyFill="1" applyBorder="1" applyAlignment="1">
      <alignment wrapText="1"/>
    </xf>
    <xf numFmtId="0" fontId="0" fillId="14" borderId="1" xfId="0" applyFill="1" applyBorder="1"/>
    <xf numFmtId="0" fontId="0" fillId="5" borderId="3" xfId="0" applyFill="1" applyBorder="1"/>
    <xf numFmtId="0" fontId="0" fillId="6" borderId="5" xfId="0" applyFill="1" applyBorder="1"/>
    <xf numFmtId="0" fontId="0" fillId="0" borderId="6" xfId="0" applyBorder="1"/>
    <xf numFmtId="0" fontId="0" fillId="7" borderId="2" xfId="0" applyFill="1" applyBorder="1"/>
    <xf numFmtId="0" fontId="0" fillId="7" borderId="8" xfId="0" applyFill="1" applyBorder="1"/>
    <xf numFmtId="0" fontId="0" fillId="0" borderId="4" xfId="0" applyBorder="1"/>
    <xf numFmtId="0" fontId="0" fillId="9" borderId="5" xfId="0" applyFill="1" applyBorder="1"/>
    <xf numFmtId="0" fontId="0" fillId="8" borderId="5" xfId="0" applyFill="1" applyBorder="1"/>
    <xf numFmtId="0" fontId="0" fillId="15" borderId="5" xfId="0" applyFill="1" applyBorder="1"/>
    <xf numFmtId="0" fontId="0" fillId="10" borderId="7" xfId="0" applyFill="1" applyBorder="1"/>
    <xf numFmtId="0" fontId="0" fillId="11" borderId="7" xfId="0" applyFill="1" applyBorder="1"/>
    <xf numFmtId="0" fontId="0" fillId="16" borderId="7" xfId="0" applyFill="1" applyBorder="1"/>
    <xf numFmtId="0" fontId="0" fillId="15" borderId="3" xfId="0" applyFill="1" applyBorder="1"/>
    <xf numFmtId="0" fontId="0" fillId="9" borderId="9" xfId="0" applyFill="1" applyBorder="1"/>
    <xf numFmtId="0" fontId="0" fillId="0" borderId="10" xfId="0" applyBorder="1"/>
    <xf numFmtId="0" fontId="0" fillId="17" borderId="9" xfId="0" applyFill="1" applyBorder="1"/>
    <xf numFmtId="0" fontId="0" fillId="19" borderId="7" xfId="0" applyFill="1" applyBorder="1"/>
    <xf numFmtId="0" fontId="0" fillId="6" borderId="9" xfId="0" applyFill="1" applyBorder="1"/>
    <xf numFmtId="0" fontId="0" fillId="7" borderId="7" xfId="0" applyFill="1" applyBorder="1"/>
    <xf numFmtId="0" fontId="0" fillId="3" borderId="9" xfId="0" applyFill="1" applyBorder="1"/>
    <xf numFmtId="0" fontId="0" fillId="13" borderId="7" xfId="0" applyFill="1" applyBorder="1"/>
    <xf numFmtId="0" fontId="0" fillId="0" borderId="9" xfId="0" applyBorder="1"/>
    <xf numFmtId="0" fontId="0" fillId="9" borderId="10" xfId="0" applyFill="1" applyBorder="1"/>
    <xf numFmtId="0" fontId="0" fillId="20" borderId="10" xfId="0" applyFill="1" applyBorder="1"/>
    <xf numFmtId="0" fontId="0" fillId="6" borderId="10" xfId="0" applyFill="1" applyBorder="1"/>
    <xf numFmtId="0" fontId="0" fillId="3" borderId="10" xfId="0" applyFill="1" applyBorder="1"/>
    <xf numFmtId="0" fontId="0" fillId="16" borderId="12" xfId="0" applyFill="1" applyBorder="1"/>
    <xf numFmtId="0" fontId="0" fillId="0" borderId="14" xfId="0" applyBorder="1"/>
    <xf numFmtId="0" fontId="0" fillId="0" borderId="13" xfId="0" applyBorder="1"/>
    <xf numFmtId="0" fontId="0" fillId="14" borderId="5" xfId="0" applyFill="1" applyBorder="1"/>
    <xf numFmtId="0" fontId="0" fillId="15" borderId="15" xfId="0" applyFill="1" applyBorder="1"/>
    <xf numFmtId="0" fontId="0" fillId="14" borderId="3" xfId="0" applyFill="1" applyBorder="1" applyAlignment="1">
      <alignment wrapText="1"/>
    </xf>
    <xf numFmtId="0" fontId="0" fillId="6" borderId="13" xfId="0" applyFill="1" applyBorder="1"/>
    <xf numFmtId="0" fontId="0" fillId="5" borderId="15" xfId="0" applyFill="1" applyBorder="1"/>
    <xf numFmtId="0" fontId="0" fillId="14" borderId="16" xfId="0" applyFill="1" applyBorder="1"/>
    <xf numFmtId="0" fontId="0" fillId="5" borderId="9" xfId="0" applyFill="1" applyBorder="1"/>
    <xf numFmtId="0" fontId="0" fillId="18" borderId="6" xfId="0" applyFill="1" applyBorder="1"/>
    <xf numFmtId="0" fontId="0" fillId="14" borderId="3" xfId="0" applyFill="1" applyBorder="1"/>
    <xf numFmtId="0" fontId="1" fillId="4" borderId="11" xfId="0" applyFont="1" applyFill="1" applyBorder="1"/>
    <xf numFmtId="0" fontId="0" fillId="0" borderId="1" xfId="0" applyFill="1" applyBorder="1" applyAlignment="1">
      <alignment wrapText="1"/>
    </xf>
    <xf numFmtId="0" fontId="0" fillId="8" borderId="10" xfId="0" applyFill="1" applyBorder="1"/>
    <xf numFmtId="0" fontId="0" fillId="0" borderId="1" xfId="0" applyFill="1" applyBorder="1"/>
    <xf numFmtId="0" fontId="0" fillId="0" borderId="6" xfId="0" applyFill="1" applyBorder="1"/>
    <xf numFmtId="0" fontId="0" fillId="0" borderId="5" xfId="0" applyFill="1" applyBorder="1"/>
    <xf numFmtId="0" fontId="1" fillId="21" borderId="1" xfId="0" applyFont="1" applyFill="1" applyBorder="1"/>
    <xf numFmtId="0" fontId="0" fillId="12" borderId="4" xfId="0" applyFill="1" applyBorder="1"/>
    <xf numFmtId="0" fontId="0" fillId="0" borderId="17" xfId="0" applyBorder="1"/>
    <xf numFmtId="0" fontId="0" fillId="6" borderId="18" xfId="0" applyFill="1" applyBorder="1" applyAlignment="1">
      <alignment wrapText="1"/>
    </xf>
    <xf numFmtId="0" fontId="0" fillId="11" borderId="19" xfId="0" applyFill="1" applyBorder="1"/>
    <xf numFmtId="0" fontId="0" fillId="5" borderId="20" xfId="0" applyFill="1" applyBorder="1"/>
    <xf numFmtId="0" fontId="3" fillId="0" borderId="1" xfId="1" applyBorder="1" applyAlignment="1">
      <alignment wrapText="1"/>
    </xf>
    <xf numFmtId="0" fontId="2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9EE1-B2D1-4448-BDF1-B38AD67A9BA9}">
  <dimension ref="A1:U18"/>
  <sheetViews>
    <sheetView tabSelected="1" zoomScaleNormal="100" workbookViewId="0">
      <selection activeCell="A6" sqref="A6"/>
    </sheetView>
  </sheetViews>
  <sheetFormatPr defaultRowHeight="15" x14ac:dyDescent="0.25"/>
  <cols>
    <col min="1" max="1" width="27.7109375" customWidth="1"/>
    <col min="2" max="2" width="13" customWidth="1"/>
    <col min="3" max="3" width="12.5703125" customWidth="1"/>
    <col min="4" max="4" width="11.85546875" customWidth="1"/>
    <col min="5" max="5" width="11" customWidth="1"/>
    <col min="6" max="6" width="11.28515625" customWidth="1"/>
    <col min="7" max="8" width="11.140625" customWidth="1"/>
    <col min="9" max="9" width="12.42578125" customWidth="1"/>
    <col min="10" max="10" width="12.7109375" customWidth="1"/>
    <col min="11" max="11" width="13.140625" customWidth="1"/>
    <col min="12" max="13" width="13" customWidth="1"/>
    <col min="14" max="14" width="18.28515625" customWidth="1"/>
    <col min="15" max="15" width="14.5703125" customWidth="1"/>
    <col min="16" max="16" width="13.5703125" customWidth="1"/>
    <col min="17" max="17" width="12.85546875" customWidth="1"/>
    <col min="18" max="18" width="13.85546875" customWidth="1"/>
    <col min="19" max="19" width="14.5703125" customWidth="1"/>
    <col min="20" max="20" width="9.42578125" customWidth="1"/>
  </cols>
  <sheetData>
    <row r="1" spans="1:21" ht="41.25" customHeight="1" thickBot="1" x14ac:dyDescent="0.3">
      <c r="A1" s="1" t="s">
        <v>48</v>
      </c>
      <c r="B1" s="49"/>
      <c r="C1" s="3" t="s">
        <v>10</v>
      </c>
      <c r="D1" s="3" t="s">
        <v>10</v>
      </c>
      <c r="E1" s="3" t="s">
        <v>10</v>
      </c>
      <c r="F1" s="3" t="s">
        <v>10</v>
      </c>
      <c r="G1" s="3" t="s">
        <v>10</v>
      </c>
      <c r="H1" s="3" t="s">
        <v>10</v>
      </c>
      <c r="I1" s="5" t="s">
        <v>15</v>
      </c>
      <c r="J1" s="5" t="s">
        <v>15</v>
      </c>
      <c r="K1" s="4" t="s">
        <v>15</v>
      </c>
      <c r="L1" s="4" t="s">
        <v>15</v>
      </c>
      <c r="M1" s="43" t="s">
        <v>15</v>
      </c>
      <c r="N1" s="44" t="s">
        <v>32</v>
      </c>
      <c r="O1" s="11"/>
      <c r="P1" s="2"/>
      <c r="Q1" s="2"/>
      <c r="R1" s="45"/>
      <c r="S1" s="2"/>
      <c r="T1" s="2"/>
      <c r="U1" s="2"/>
    </row>
    <row r="2" spans="1:21" ht="33.75" customHeight="1" thickBot="1" x14ac:dyDescent="0.3">
      <c r="A2" s="37" t="s">
        <v>37</v>
      </c>
      <c r="B2" s="44" t="s">
        <v>44</v>
      </c>
      <c r="C2" s="38" t="s">
        <v>3</v>
      </c>
      <c r="D2" s="7" t="s">
        <v>4</v>
      </c>
      <c r="E2" s="7" t="s">
        <v>0</v>
      </c>
      <c r="F2" s="7" t="s">
        <v>1</v>
      </c>
      <c r="G2" s="7" t="s">
        <v>2</v>
      </c>
      <c r="H2" s="7" t="s">
        <v>33</v>
      </c>
      <c r="I2" s="12" t="s">
        <v>12</v>
      </c>
      <c r="J2" s="13" t="s">
        <v>13</v>
      </c>
      <c r="K2" s="13" t="s">
        <v>0</v>
      </c>
      <c r="L2" s="13" t="s">
        <v>3</v>
      </c>
      <c r="M2" s="14" t="s">
        <v>14</v>
      </c>
      <c r="N2" s="8"/>
      <c r="O2" s="14" t="s">
        <v>34</v>
      </c>
      <c r="P2" s="13" t="s">
        <v>36</v>
      </c>
      <c r="Q2" s="12" t="s">
        <v>35</v>
      </c>
      <c r="R2" s="7" t="s">
        <v>41</v>
      </c>
      <c r="S2" s="50" t="s">
        <v>47</v>
      </c>
      <c r="T2" s="2"/>
      <c r="U2" s="2"/>
    </row>
    <row r="3" spans="1:21" ht="34.5" customHeight="1" thickBot="1" x14ac:dyDescent="0.3">
      <c r="A3" s="3" t="s">
        <v>10</v>
      </c>
      <c r="B3" s="39" t="s">
        <v>5</v>
      </c>
      <c r="C3" s="9">
        <v>450</v>
      </c>
      <c r="D3" s="9">
        <v>0</v>
      </c>
      <c r="E3" s="9">
        <v>100</v>
      </c>
      <c r="F3" s="9">
        <v>1</v>
      </c>
      <c r="G3" s="9">
        <v>2</v>
      </c>
      <c r="H3" s="10">
        <v>75</v>
      </c>
      <c r="I3" s="15">
        <f>(K3*(G3-H3*(D3/10000)))*M3/1000000</f>
        <v>20</v>
      </c>
      <c r="J3" s="16">
        <f>(K3-E3)*F3*1000</f>
        <v>0</v>
      </c>
      <c r="K3" s="16">
        <f>E3*(1-G3*(D3/10000)+(1/2)*H3*((D3/10000)^2))</f>
        <v>100</v>
      </c>
      <c r="L3" s="16">
        <f>C3+D3</f>
        <v>450</v>
      </c>
      <c r="M3" s="17">
        <f>F3*K3*1000</f>
        <v>100000</v>
      </c>
      <c r="N3" s="40" t="s">
        <v>39</v>
      </c>
      <c r="O3" s="17">
        <f>M3+M4+M5+M6+M7+M8</f>
        <v>600000</v>
      </c>
      <c r="P3" s="16">
        <f>J3+J4+J5+J6+J7+J8</f>
        <v>0</v>
      </c>
      <c r="Q3" s="15">
        <f>I3+I4+I5+I6+I7+I8</f>
        <v>740</v>
      </c>
      <c r="R3" s="24">
        <f>M10+M11+M12+M13+M14+M15</f>
        <v>-369.86301369863014</v>
      </c>
      <c r="S3" s="51">
        <f>P3+R3</f>
        <v>-369.86301369863014</v>
      </c>
      <c r="T3" s="2"/>
      <c r="U3" s="2"/>
    </row>
    <row r="4" spans="1:21" ht="33.75" customHeight="1" thickBot="1" x14ac:dyDescent="0.3">
      <c r="A4" s="7" t="s">
        <v>46</v>
      </c>
      <c r="B4" s="6" t="s">
        <v>6</v>
      </c>
      <c r="C4" s="9">
        <v>460</v>
      </c>
      <c r="D4" s="9">
        <v>0</v>
      </c>
      <c r="E4" s="9">
        <v>100</v>
      </c>
      <c r="F4" s="9">
        <v>1</v>
      </c>
      <c r="G4" s="9">
        <v>5</v>
      </c>
      <c r="H4" s="10">
        <v>75</v>
      </c>
      <c r="I4" s="15">
        <f>(K4*(G4-H4*(D4/10000)))*M4/1000000</f>
        <v>50</v>
      </c>
      <c r="J4" s="16">
        <f>(K4-E4)*F4*1000</f>
        <v>0</v>
      </c>
      <c r="K4" s="16">
        <f>E4*(1-G4*(D4/10000)+(1/2)*H4*((D4/10000)^2))</f>
        <v>100</v>
      </c>
      <c r="L4" s="16">
        <f>C4+D4</f>
        <v>460</v>
      </c>
      <c r="M4" s="32">
        <f>F4*K4*1000</f>
        <v>100000</v>
      </c>
      <c r="N4" s="44" t="s">
        <v>40</v>
      </c>
      <c r="O4" s="33"/>
      <c r="P4" s="8"/>
      <c r="Q4" s="8"/>
      <c r="R4" s="8"/>
      <c r="S4" s="2"/>
      <c r="T4" s="2"/>
      <c r="U4" s="2"/>
    </row>
    <row r="5" spans="1:21" ht="31.5" customHeight="1" x14ac:dyDescent="0.25">
      <c r="A5" s="9">
        <v>500</v>
      </c>
      <c r="B5" s="41" t="s">
        <v>8</v>
      </c>
      <c r="C5" s="9">
        <v>470</v>
      </c>
      <c r="D5" s="9">
        <v>0</v>
      </c>
      <c r="E5" s="9">
        <v>100</v>
      </c>
      <c r="F5" s="9">
        <v>1</v>
      </c>
      <c r="G5" s="9">
        <v>7</v>
      </c>
      <c r="H5" s="10">
        <v>75</v>
      </c>
      <c r="I5" s="15">
        <f>(K5*(G5-H5*(D5/10000)))*M5/1000000</f>
        <v>70</v>
      </c>
      <c r="J5" s="16">
        <f>(K5-E5)*F5*1000</f>
        <v>0</v>
      </c>
      <c r="K5" s="16">
        <f>E5*(1-G5*(D5/10000)+(1/2)*H5*((D5/10000)^2))</f>
        <v>100</v>
      </c>
      <c r="L5" s="16">
        <f>C5+D5</f>
        <v>470</v>
      </c>
      <c r="M5" s="17">
        <f>F5*K5*1000</f>
        <v>100000</v>
      </c>
      <c r="N5" s="33"/>
      <c r="O5" s="14" t="s">
        <v>17</v>
      </c>
      <c r="P5" s="14" t="s">
        <v>18</v>
      </c>
      <c r="Q5" s="14" t="s">
        <v>19</v>
      </c>
      <c r="R5" s="14" t="s">
        <v>20</v>
      </c>
      <c r="S5" s="14" t="s">
        <v>21</v>
      </c>
      <c r="T5" s="2"/>
      <c r="U5" s="2"/>
    </row>
    <row r="6" spans="1:21" ht="30.75" customHeight="1" x14ac:dyDescent="0.25">
      <c r="A6" s="48"/>
      <c r="B6" s="6" t="s">
        <v>7</v>
      </c>
      <c r="C6" s="9">
        <v>480</v>
      </c>
      <c r="D6" s="9">
        <v>0</v>
      </c>
      <c r="E6" s="9">
        <v>100</v>
      </c>
      <c r="F6" s="9">
        <v>1</v>
      </c>
      <c r="G6" s="9">
        <v>10</v>
      </c>
      <c r="H6" s="10">
        <v>75</v>
      </c>
      <c r="I6" s="15">
        <f>(K6*(G6-H6*(D6/10000)))*M6/1000000</f>
        <v>100</v>
      </c>
      <c r="J6" s="16">
        <f>(K6-E6)*F6*1000</f>
        <v>0</v>
      </c>
      <c r="K6" s="16">
        <f>E6*(1-G6*(D6/10000)+(1/2)*H6*((D6/10000)^2))</f>
        <v>100</v>
      </c>
      <c r="L6" s="16">
        <f>C6+D6</f>
        <v>480</v>
      </c>
      <c r="M6" s="17">
        <f>F6*K6*1000</f>
        <v>100000</v>
      </c>
      <c r="N6" s="27"/>
      <c r="O6" s="17">
        <f>L4-L3</f>
        <v>10</v>
      </c>
      <c r="P6" s="17">
        <f>L5-L3</f>
        <v>20</v>
      </c>
      <c r="Q6" s="17">
        <f>L6-L3</f>
        <v>30</v>
      </c>
      <c r="R6" s="17">
        <f>L7-L3</f>
        <v>40</v>
      </c>
      <c r="S6" s="17">
        <f>L8-L3</f>
        <v>50</v>
      </c>
      <c r="T6" s="11"/>
      <c r="U6" s="2"/>
    </row>
    <row r="7" spans="1:21" ht="31.5" customHeight="1" x14ac:dyDescent="0.25">
      <c r="A7" s="47"/>
      <c r="B7" s="6" t="s">
        <v>9</v>
      </c>
      <c r="C7" s="9">
        <v>490</v>
      </c>
      <c r="D7" s="9">
        <v>0</v>
      </c>
      <c r="E7" s="9">
        <v>100</v>
      </c>
      <c r="F7" s="9">
        <v>1</v>
      </c>
      <c r="G7" s="9">
        <v>20</v>
      </c>
      <c r="H7" s="10">
        <v>75</v>
      </c>
      <c r="I7" s="15">
        <f>(K7*(G7-H7*(D7/10000)))*M7/1000000</f>
        <v>200</v>
      </c>
      <c r="J7" s="16">
        <f>(K7-E7)*F7*1000</f>
        <v>0</v>
      </c>
      <c r="K7" s="16">
        <f>E7*(1-G7*(D7/10000)+(1/2)*H7*((D7/10000)^2))</f>
        <v>100</v>
      </c>
      <c r="L7" s="16">
        <f>C7+D7</f>
        <v>490</v>
      </c>
      <c r="M7" s="17">
        <f>F7*K7*1000</f>
        <v>100000</v>
      </c>
      <c r="N7" s="11"/>
      <c r="O7" s="28" t="s">
        <v>22</v>
      </c>
      <c r="P7" s="28" t="s">
        <v>23</v>
      </c>
      <c r="Q7" s="28" t="s">
        <v>24</v>
      </c>
      <c r="R7" s="28" t="s">
        <v>25</v>
      </c>
      <c r="S7" s="8"/>
      <c r="T7" s="2"/>
      <c r="U7" s="2"/>
    </row>
    <row r="8" spans="1:21" ht="28.5" customHeight="1" thickBot="1" x14ac:dyDescent="0.3">
      <c r="A8" s="35" t="s">
        <v>45</v>
      </c>
      <c r="B8" s="6" t="s">
        <v>11</v>
      </c>
      <c r="C8" s="9">
        <v>500</v>
      </c>
      <c r="D8" s="9">
        <v>0</v>
      </c>
      <c r="E8" s="9">
        <v>100</v>
      </c>
      <c r="F8" s="9">
        <v>1</v>
      </c>
      <c r="G8" s="9">
        <v>30</v>
      </c>
      <c r="H8" s="10">
        <v>75</v>
      </c>
      <c r="I8" s="15">
        <f>(K8*(G8-H8*(D8/10000)))*M8/1000000</f>
        <v>300</v>
      </c>
      <c r="J8" s="16">
        <f>(K8-E8)*F8*1000</f>
        <v>0</v>
      </c>
      <c r="K8" s="54">
        <f>E8*(1-G8*(D8/10000)+(1/2)*H8*((D8/10000)^2))</f>
        <v>100</v>
      </c>
      <c r="L8" s="16">
        <f>C8+D8</f>
        <v>500</v>
      </c>
      <c r="M8" s="17">
        <f>F8*K8*1000</f>
        <v>100000</v>
      </c>
      <c r="N8" s="27"/>
      <c r="O8" s="15">
        <f>L5-L4</f>
        <v>10</v>
      </c>
      <c r="P8" s="15">
        <f>L6-L4</f>
        <v>20</v>
      </c>
      <c r="Q8" s="15">
        <f>L7-L4</f>
        <v>30</v>
      </c>
      <c r="R8" s="15">
        <f>L8-L4</f>
        <v>40</v>
      </c>
      <c r="S8" s="11"/>
      <c r="T8" s="2"/>
      <c r="U8" s="2"/>
    </row>
    <row r="9" spans="1:21" ht="33.75" customHeight="1" thickBot="1" x14ac:dyDescent="0.3">
      <c r="A9" s="44" t="s">
        <v>16</v>
      </c>
      <c r="B9" s="34"/>
      <c r="C9" s="8"/>
      <c r="D9" s="20"/>
      <c r="E9" s="8"/>
      <c r="F9" s="20"/>
      <c r="G9" s="8"/>
      <c r="H9" s="20"/>
      <c r="I9" s="8"/>
      <c r="J9" s="52"/>
      <c r="K9" s="44" t="s">
        <v>44</v>
      </c>
      <c r="L9" s="53" t="s">
        <v>43</v>
      </c>
      <c r="M9" s="46" t="s">
        <v>42</v>
      </c>
      <c r="N9" s="2"/>
      <c r="O9" s="29" t="s">
        <v>26</v>
      </c>
      <c r="P9" s="29" t="s">
        <v>27</v>
      </c>
      <c r="Q9" s="29" t="s">
        <v>28</v>
      </c>
      <c r="R9" s="8"/>
      <c r="S9" s="2"/>
      <c r="T9" s="2"/>
      <c r="U9" s="2"/>
    </row>
    <row r="10" spans="1:21" ht="36" customHeight="1" x14ac:dyDescent="0.25">
      <c r="A10" s="36" t="s">
        <v>17</v>
      </c>
      <c r="B10" s="17">
        <f>(I4/F4)/(I3/F3)</f>
        <v>2.5</v>
      </c>
      <c r="C10" s="19" t="s">
        <v>22</v>
      </c>
      <c r="D10" s="15">
        <f>(I5/F5)/(I4/F4)</f>
        <v>1.4</v>
      </c>
      <c r="E10" s="21" t="s">
        <v>26</v>
      </c>
      <c r="F10" s="22">
        <f>(I6/F6)/(I5/F5)</f>
        <v>1.4285714285714286</v>
      </c>
      <c r="G10" s="23" t="s">
        <v>29</v>
      </c>
      <c r="H10" s="24">
        <f>(I7/F7)/(I6/F6)</f>
        <v>2</v>
      </c>
      <c r="I10" s="25" t="s">
        <v>31</v>
      </c>
      <c r="J10" s="26">
        <f>(I8/F8)/(I7/F7)</f>
        <v>1.5</v>
      </c>
      <c r="K10" s="55" t="s">
        <v>5</v>
      </c>
      <c r="L10" s="10">
        <v>90</v>
      </c>
      <c r="M10" s="16">
        <f>((L3-A5)/10000)*M3*(L10/365)</f>
        <v>-123.2876712328767</v>
      </c>
      <c r="N10" s="27"/>
      <c r="O10" s="22">
        <f>L6-L5</f>
        <v>10</v>
      </c>
      <c r="P10" s="22">
        <f>L7-L5</f>
        <v>20</v>
      </c>
      <c r="Q10" s="22">
        <f>L8-L5</f>
        <v>30</v>
      </c>
      <c r="R10" s="11"/>
      <c r="S10" s="2"/>
      <c r="T10" s="2"/>
      <c r="U10" s="2"/>
    </row>
    <row r="11" spans="1:21" ht="31.5" customHeight="1" x14ac:dyDescent="0.25">
      <c r="A11" s="18" t="s">
        <v>18</v>
      </c>
      <c r="B11" s="17">
        <f>(I5/F5)/(I3/F3)</f>
        <v>3.5</v>
      </c>
      <c r="C11" s="19" t="s">
        <v>23</v>
      </c>
      <c r="D11" s="15">
        <f>(I6/F6)/(I4/F4)</f>
        <v>2</v>
      </c>
      <c r="E11" s="21" t="s">
        <v>27</v>
      </c>
      <c r="F11" s="22">
        <f>(I7/F7)/(I5/F5)</f>
        <v>2.8571428571428572</v>
      </c>
      <c r="G11" s="23" t="s">
        <v>30</v>
      </c>
      <c r="H11" s="24">
        <f>(I8/F8)/(I6/F6)</f>
        <v>3</v>
      </c>
      <c r="I11" s="11"/>
      <c r="J11" s="8"/>
      <c r="K11" s="6" t="s">
        <v>6</v>
      </c>
      <c r="L11" s="10">
        <v>90</v>
      </c>
      <c r="M11" s="16">
        <f>((L4-A5)/10000)*M4*(L11/365)</f>
        <v>-98.630136986301366</v>
      </c>
      <c r="N11" s="11"/>
      <c r="O11" s="30" t="s">
        <v>29</v>
      </c>
      <c r="P11" s="30" t="s">
        <v>30</v>
      </c>
      <c r="Q11" s="8"/>
      <c r="R11" s="2"/>
      <c r="S11" s="2"/>
      <c r="T11" s="2" t="s">
        <v>38</v>
      </c>
      <c r="U11" s="2"/>
    </row>
    <row r="12" spans="1:21" ht="33" customHeight="1" x14ac:dyDescent="0.25">
      <c r="A12" s="18" t="s">
        <v>19</v>
      </c>
      <c r="B12" s="17">
        <f>(I6/F6)/(I3/F3)</f>
        <v>5</v>
      </c>
      <c r="C12" s="19" t="s">
        <v>24</v>
      </c>
      <c r="D12" s="15">
        <f>(I7/F7)/(I4/F4)</f>
        <v>4</v>
      </c>
      <c r="E12" s="21" t="s">
        <v>28</v>
      </c>
      <c r="F12" s="22">
        <f>(I8/F8)/(I5/F5)</f>
        <v>4.2857142857142856</v>
      </c>
      <c r="G12" s="11"/>
      <c r="H12" s="8"/>
      <c r="I12" s="2"/>
      <c r="J12" s="2"/>
      <c r="K12" s="6" t="s">
        <v>8</v>
      </c>
      <c r="L12" s="10">
        <v>90</v>
      </c>
      <c r="M12" s="16">
        <f>((L5-A5)/10000)*M5*(L12/365)</f>
        <v>-73.972602739726028</v>
      </c>
      <c r="N12" s="27"/>
      <c r="O12" s="24">
        <f>L7-L6</f>
        <v>10</v>
      </c>
      <c r="P12" s="24">
        <f>L8-L6</f>
        <v>20</v>
      </c>
      <c r="Q12" s="11"/>
      <c r="R12" s="2"/>
      <c r="S12" s="2"/>
      <c r="T12" s="2"/>
      <c r="U12" s="2"/>
    </row>
    <row r="13" spans="1:21" ht="33" customHeight="1" x14ac:dyDescent="0.25">
      <c r="A13" s="18" t="s">
        <v>20</v>
      </c>
      <c r="B13" s="17">
        <f>(I7/F7)/(I3/F3)</f>
        <v>10</v>
      </c>
      <c r="C13" s="19" t="s">
        <v>25</v>
      </c>
      <c r="D13" s="15">
        <f>(I8/F8)/(I4/F4)</f>
        <v>6</v>
      </c>
      <c r="E13" s="11"/>
      <c r="F13" s="8"/>
      <c r="G13" s="2"/>
      <c r="H13" s="2"/>
      <c r="I13" s="2"/>
      <c r="J13" s="2"/>
      <c r="K13" s="6" t="s">
        <v>7</v>
      </c>
      <c r="L13" s="10">
        <v>90</v>
      </c>
      <c r="M13" s="16">
        <f>((L6-A5)/10000)*M6*(L13/365)</f>
        <v>-49.315068493150683</v>
      </c>
      <c r="N13" s="11"/>
      <c r="O13" s="31" t="s">
        <v>31</v>
      </c>
      <c r="P13" s="8"/>
      <c r="Q13" s="2"/>
      <c r="R13" s="2"/>
      <c r="S13" s="2"/>
      <c r="T13" s="2"/>
      <c r="U13" s="2"/>
    </row>
    <row r="14" spans="1:21" ht="33.75" customHeight="1" x14ac:dyDescent="0.25">
      <c r="A14" s="18" t="s">
        <v>21</v>
      </c>
      <c r="B14" s="17">
        <f>(I8/F8)/(I3/F3)</f>
        <v>15</v>
      </c>
      <c r="C14" s="11"/>
      <c r="D14" s="8"/>
      <c r="E14" s="2"/>
      <c r="F14" s="2"/>
      <c r="G14" s="2"/>
      <c r="H14" s="2"/>
      <c r="I14" s="2"/>
      <c r="J14" s="2"/>
      <c r="K14" s="6" t="s">
        <v>9</v>
      </c>
      <c r="L14" s="10">
        <v>90</v>
      </c>
      <c r="M14" s="16">
        <f>((L7-A5)/10000)*M7*(L14/365)</f>
        <v>-24.657534246575342</v>
      </c>
      <c r="N14" s="27"/>
      <c r="O14" s="26">
        <f>L8-L7</f>
        <v>10</v>
      </c>
      <c r="P14" s="11"/>
      <c r="Q14" s="2"/>
      <c r="R14" s="2"/>
      <c r="S14" s="2"/>
      <c r="T14" s="2"/>
      <c r="U14" s="2"/>
    </row>
    <row r="15" spans="1:21" ht="33.75" customHeight="1" x14ac:dyDescent="0.25">
      <c r="A15" s="56"/>
      <c r="B15" s="8"/>
      <c r="C15" s="2"/>
      <c r="D15" s="2"/>
      <c r="E15" s="2"/>
      <c r="F15" s="2"/>
      <c r="G15" s="2"/>
      <c r="H15" s="2"/>
      <c r="I15" s="2"/>
      <c r="J15" s="2"/>
      <c r="K15" s="6" t="s">
        <v>11</v>
      </c>
      <c r="L15" s="10">
        <v>90</v>
      </c>
      <c r="M15" s="16">
        <f>((L8-A5)/10000)*M8*(L15/365)</f>
        <v>0</v>
      </c>
      <c r="N15" s="11"/>
      <c r="O15" s="8"/>
      <c r="P15" s="2"/>
      <c r="Q15" s="2"/>
      <c r="R15" s="2"/>
      <c r="S15" s="2"/>
      <c r="T15" s="2"/>
      <c r="U15" s="2"/>
    </row>
    <row r="16" spans="1:21" ht="40.5" customHeight="1" x14ac:dyDescent="0.25">
      <c r="A16" s="57" t="s">
        <v>49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42" t="s">
        <v>10</v>
      </c>
      <c r="M16" s="8"/>
      <c r="N16" s="2"/>
      <c r="O16" s="2"/>
      <c r="P16" s="2"/>
      <c r="Q16" s="2"/>
      <c r="R16" s="2"/>
      <c r="S16" s="2"/>
      <c r="T16" s="2"/>
      <c r="U16" s="2"/>
    </row>
    <row r="17" spans="1:21" ht="28.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6.25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7EF202C489544903AE9974BF39310" ma:contentTypeVersion="4" ma:contentTypeDescription="Create a new document." ma:contentTypeScope="" ma:versionID="59bc2029951f676e9f30c2cc126892cb">
  <xsd:schema xmlns:xsd="http://www.w3.org/2001/XMLSchema" xmlns:xs="http://www.w3.org/2001/XMLSchema" xmlns:p="http://schemas.microsoft.com/office/2006/metadata/properties" xmlns:ns3="aa22a689-7505-4716-b802-371d38c763eb" targetNamespace="http://schemas.microsoft.com/office/2006/metadata/properties" ma:root="true" ma:fieldsID="11ccfcbd33bee6523d6e1d1941903c6f" ns3:_="">
    <xsd:import namespace="aa22a689-7505-4716-b802-371d38c763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2a689-7505-4716-b802-371d38c763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1C15BA-4FF6-465C-9A98-F0BE175AF4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22a689-7505-4716-b802-371d38c76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65F2B2-6435-4B36-B0F4-96D7A4F5F1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E569D4-886D-48EC-A631-B23A4E619C70}">
  <ds:schemaRefs>
    <ds:schemaRef ds:uri="http://schemas.microsoft.com/office/2006/documentManagement/types"/>
    <ds:schemaRef ds:uri="aa22a689-7505-4716-b802-371d38c763eb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dcmitype/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Station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Daniel, Robert Nikolas</dc:creator>
  <cp:lastModifiedBy>Daniel, Robert Nikolas</cp:lastModifiedBy>
  <dcterms:created xsi:type="dcterms:W3CDTF">2026-05-27T14:48:47Z</dcterms:created>
  <dcterms:modified xsi:type="dcterms:W3CDTF">2026-05-27T21:49:39Z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0x0101007527EF202C489544903AE9974BF39310</vt:lpwstr>
  </property>
</Properties>
</file>